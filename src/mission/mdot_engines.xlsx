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vkpoorte/Documents/hydrogen_fuel_tank/src/mission/"/>
    </mc:Choice>
  </mc:AlternateContent>
  <xr:revisionPtr revIDLastSave="0" documentId="13_ncr:1_{5C58A541-426A-9C46-83C7-FFA7D30D6C7D}" xr6:coauthVersionLast="47" xr6:coauthVersionMax="47" xr10:uidLastSave="{00000000-0000-0000-0000-000000000000}"/>
  <bookViews>
    <workbookView xWindow="0" yWindow="500" windowWidth="28800" windowHeight="123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J22" i="1"/>
  <c r="I22" i="1"/>
  <c r="H22" i="1"/>
  <c r="G22" i="1"/>
  <c r="F22" i="1"/>
  <c r="E22" i="1"/>
  <c r="D22" i="1"/>
  <c r="C22" i="1"/>
  <c r="B22" i="1"/>
  <c r="K15" i="1"/>
  <c r="J15" i="1"/>
  <c r="I15" i="1"/>
  <c r="H15" i="1"/>
  <c r="G15" i="1"/>
  <c r="F15" i="1"/>
  <c r="E15" i="1"/>
  <c r="D15" i="1"/>
  <c r="C15" i="1"/>
  <c r="B15" i="1"/>
  <c r="C8" i="1"/>
  <c r="D8" i="1"/>
  <c r="E8" i="1"/>
  <c r="F8" i="1"/>
  <c r="G8" i="1"/>
  <c r="H8" i="1"/>
  <c r="I8" i="1"/>
  <c r="J8" i="1"/>
  <c r="K8" i="1"/>
  <c r="B8" i="1"/>
</calcChain>
</file>

<file path=xl/sharedStrings.xml><?xml version="1.0" encoding="utf-8"?>
<sst xmlns="http://schemas.openxmlformats.org/spreadsheetml/2006/main" count="58" uniqueCount="31">
  <si>
    <t>aircraft</t>
  </si>
  <si>
    <t>REG-JA1</t>
  </si>
  <si>
    <t>REG-LH2-a</t>
  </si>
  <si>
    <t>REG-LH2-b</t>
  </si>
  <si>
    <t>REG-LH2-c</t>
  </si>
  <si>
    <t>REG-LH2-d</t>
  </si>
  <si>
    <t>REG-LH2-e</t>
  </si>
  <si>
    <t>SMR-JA1</t>
  </si>
  <si>
    <t>SMR-LH2-a</t>
  </si>
  <si>
    <t>SMR-LH2-b</t>
  </si>
  <si>
    <t>SMR-LH2-c</t>
  </si>
  <si>
    <t>SMR-LH2-d</t>
  </si>
  <si>
    <t>SMR-LH2-e</t>
  </si>
  <si>
    <t>LPA-JA1</t>
  </si>
  <si>
    <t>LPA-LH2-a</t>
  </si>
  <si>
    <t>LPA-LH2-b</t>
  </si>
  <si>
    <t>LPA-LH2-c</t>
  </si>
  <si>
    <t>LPA-LH2-d</t>
  </si>
  <si>
    <t>LPA-LH2-e</t>
  </si>
  <si>
    <t>take-off</t>
  </si>
  <si>
    <t>climb</t>
  </si>
  <si>
    <t>cruise</t>
  </si>
  <si>
    <t>descent</t>
  </si>
  <si>
    <t>alternate climb</t>
  </si>
  <si>
    <t>alternate cruise</t>
  </si>
  <si>
    <t>alternate descent</t>
  </si>
  <si>
    <t>loiter</t>
  </si>
  <si>
    <t>descent 2</t>
  </si>
  <si>
    <t>landing</t>
  </si>
  <si>
    <t>kg/s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</si>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</sst>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selection activeCell="B22" sqref="B22:K22"/>
    </sheetView>
  </sheetViews>
  <sheetFormatPr baseColWidth="10" defaultColWidth="8.83203125" defaultRowHeight="15" x14ac:dyDescent="0.2"/>
  <cols>
    <col min="1" max="1" width="10.6640625" bestFit="1" customWidth="1"/>
    <col min="2" max="5" width="12" bestFit="1" customWidth="1"/>
    <col min="6" max="6" width="14.5" bestFit="1" customWidth="1"/>
    <col min="7" max="7" width="15" bestFit="1" customWidth="1"/>
    <col min="8" max="8" width="16.6640625" bestFit="1" customWidth="1"/>
    <col min="9" max="11" width="12" bestFit="1" customWidth="1"/>
  </cols>
  <sheetData>
    <row r="1" spans="1:14" x14ac:dyDescent="0.2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N1" s="1" t="s">
        <v>30</v>
      </c>
    </row>
    <row r="2" spans="1:14" x14ac:dyDescent="0.2">
      <c r="A2" s="1" t="s">
        <v>1</v>
      </c>
      <c r="B2" s="3">
        <v>0.307</v>
      </c>
      <c r="C2" s="3">
        <v>0.26400000000000001</v>
      </c>
      <c r="D2" s="3">
        <v>0.13500000000000001</v>
      </c>
      <c r="E2" s="3">
        <v>0.01</v>
      </c>
      <c r="F2" s="3">
        <v>0.3</v>
      </c>
      <c r="G2" s="3">
        <v>0.189</v>
      </c>
      <c r="H2" s="3">
        <v>1.0999999999999999E-2</v>
      </c>
      <c r="I2" s="3">
        <v>7.0999999999999994E-2</v>
      </c>
      <c r="J2" s="3">
        <v>1.0999999999999999E-2</v>
      </c>
      <c r="K2" s="3">
        <v>7.9000000000000001E-2</v>
      </c>
      <c r="N2" s="2" t="s">
        <v>29</v>
      </c>
    </row>
    <row r="3" spans="1:14" x14ac:dyDescent="0.2">
      <c r="A3" s="1" t="s">
        <v>2</v>
      </c>
      <c r="B3" s="3">
        <v>0.114</v>
      </c>
      <c r="C3" s="3">
        <v>9.7000000000000003E-2</v>
      </c>
      <c r="D3" s="3">
        <v>5.1999999999999998E-2</v>
      </c>
      <c r="E3" s="3">
        <v>4.0000000000000001E-3</v>
      </c>
      <c r="F3" s="3">
        <v>0.111</v>
      </c>
      <c r="G3" s="3">
        <v>7.2999999999999995E-2</v>
      </c>
      <c r="H3" s="3">
        <v>4.0000000000000001E-3</v>
      </c>
      <c r="I3" s="3">
        <v>2.9000000000000001E-2</v>
      </c>
      <c r="J3" s="3">
        <v>4.0000000000000001E-3</v>
      </c>
      <c r="K3" s="3">
        <v>8.2000000000000003E-2</v>
      </c>
      <c r="N3" s="2" t="s">
        <v>29</v>
      </c>
    </row>
    <row r="4" spans="1:14" x14ac:dyDescent="0.2">
      <c r="A4" s="1" t="s">
        <v>3</v>
      </c>
      <c r="B4" s="3">
        <v>0.113</v>
      </c>
      <c r="C4" s="3">
        <v>9.7000000000000003E-2</v>
      </c>
      <c r="D4" s="3">
        <v>5.1999999999999998E-2</v>
      </c>
      <c r="E4" s="3">
        <v>4.0000000000000001E-3</v>
      </c>
      <c r="F4" s="3">
        <v>0.11</v>
      </c>
      <c r="G4" s="3">
        <v>7.2999999999999995E-2</v>
      </c>
      <c r="H4" s="3">
        <v>4.0000000000000001E-3</v>
      </c>
      <c r="I4" s="3">
        <v>2.9000000000000001E-2</v>
      </c>
      <c r="J4" s="3">
        <v>4.0000000000000001E-3</v>
      </c>
      <c r="K4" s="3">
        <v>8.2000000000000003E-2</v>
      </c>
      <c r="N4" s="2" t="s">
        <v>29</v>
      </c>
    </row>
    <row r="5" spans="1:14" x14ac:dyDescent="0.2">
      <c r="A5" s="1" t="s">
        <v>4</v>
      </c>
      <c r="B5" s="3">
        <v>0.113</v>
      </c>
      <c r="C5" s="3">
        <v>9.6000000000000002E-2</v>
      </c>
      <c r="D5" s="3">
        <v>5.0999999999999997E-2</v>
      </c>
      <c r="E5" s="3">
        <v>4.0000000000000001E-3</v>
      </c>
      <c r="F5" s="3">
        <v>0.11</v>
      </c>
      <c r="G5" s="3">
        <v>7.1999999999999995E-2</v>
      </c>
      <c r="H5" s="3">
        <v>4.0000000000000001E-3</v>
      </c>
      <c r="I5" s="3">
        <v>2.8000000000000001E-2</v>
      </c>
      <c r="J5" s="3">
        <v>4.0000000000000001E-3</v>
      </c>
      <c r="K5" s="3">
        <v>8.2000000000000003E-2</v>
      </c>
      <c r="N5" s="2" t="s">
        <v>29</v>
      </c>
    </row>
    <row r="6" spans="1:14" x14ac:dyDescent="0.2">
      <c r="A6" s="1" t="s">
        <v>5</v>
      </c>
      <c r="B6" s="3">
        <v>0.114</v>
      </c>
      <c r="C6" s="3">
        <v>9.7000000000000003E-2</v>
      </c>
      <c r="D6" s="3">
        <v>5.0999999999999997E-2</v>
      </c>
      <c r="E6" s="3">
        <v>4.0000000000000001E-3</v>
      </c>
      <c r="F6" s="3">
        <v>0.111</v>
      </c>
      <c r="G6" s="3">
        <v>7.2999999999999995E-2</v>
      </c>
      <c r="H6" s="3">
        <v>4.0000000000000001E-3</v>
      </c>
      <c r="I6" s="3">
        <v>2.9000000000000001E-2</v>
      </c>
      <c r="J6" s="3">
        <v>4.0000000000000001E-3</v>
      </c>
      <c r="K6" s="3">
        <v>8.2000000000000003E-2</v>
      </c>
      <c r="N6" s="2" t="s">
        <v>29</v>
      </c>
    </row>
    <row r="7" spans="1:14" x14ac:dyDescent="0.2">
      <c r="A7" s="1" t="s">
        <v>6</v>
      </c>
      <c r="B7" s="3">
        <v>0.112</v>
      </c>
      <c r="C7" s="3">
        <v>9.6000000000000002E-2</v>
      </c>
      <c r="D7" s="3">
        <v>0.05</v>
      </c>
      <c r="E7" s="3">
        <v>4.0000000000000001E-3</v>
      </c>
      <c r="F7" s="3">
        <v>0.109</v>
      </c>
      <c r="G7" s="3">
        <v>7.0999999999999994E-2</v>
      </c>
      <c r="H7" s="3">
        <v>4.0000000000000001E-3</v>
      </c>
      <c r="I7" s="3">
        <v>2.8000000000000001E-2</v>
      </c>
      <c r="J7" s="3">
        <v>4.0000000000000001E-3</v>
      </c>
      <c r="K7" s="3">
        <v>8.1000000000000003E-2</v>
      </c>
      <c r="N7" s="2" t="s">
        <v>29</v>
      </c>
    </row>
    <row r="8" spans="1:14" x14ac:dyDescent="0.2">
      <c r="A8" s="1"/>
      <c r="B8" s="3">
        <f>AVERAGE(B3:B7)</f>
        <v>0.11320000000000001</v>
      </c>
      <c r="C8" s="3">
        <f t="shared" ref="C8:K8" si="0">AVERAGE(C3:C7)</f>
        <v>9.6599999999999991E-2</v>
      </c>
      <c r="D8" s="3">
        <f t="shared" si="0"/>
        <v>5.1200000000000002E-2</v>
      </c>
      <c r="E8" s="3">
        <f t="shared" si="0"/>
        <v>4.0000000000000001E-3</v>
      </c>
      <c r="F8" s="3">
        <f t="shared" si="0"/>
        <v>0.11020000000000001</v>
      </c>
      <c r="G8" s="3">
        <f t="shared" si="0"/>
        <v>7.2399999999999992E-2</v>
      </c>
      <c r="H8" s="3">
        <f t="shared" si="0"/>
        <v>4.0000000000000001E-3</v>
      </c>
      <c r="I8" s="3">
        <f t="shared" si="0"/>
        <v>2.8600000000000004E-2</v>
      </c>
      <c r="J8" s="3">
        <f t="shared" si="0"/>
        <v>4.0000000000000001E-3</v>
      </c>
      <c r="K8" s="3">
        <f t="shared" si="0"/>
        <v>8.1800000000000012E-2</v>
      </c>
      <c r="N8" s="2"/>
    </row>
    <row r="9" spans="1:14" x14ac:dyDescent="0.2">
      <c r="A9" s="1" t="s">
        <v>7</v>
      </c>
      <c r="B9" s="3">
        <v>3.1680000000000001</v>
      </c>
      <c r="C9" s="3">
        <v>1.401</v>
      </c>
      <c r="D9" s="3">
        <v>0.55000000000000004</v>
      </c>
      <c r="E9" s="3">
        <v>0.15</v>
      </c>
      <c r="F9" s="3">
        <v>1.907</v>
      </c>
      <c r="G9" s="3">
        <v>0.93799999999999994</v>
      </c>
      <c r="H9" s="3">
        <v>0.114</v>
      </c>
      <c r="I9" s="3">
        <v>0.46400000000000002</v>
      </c>
      <c r="J9" s="3">
        <v>0.27600000000000002</v>
      </c>
      <c r="K9" s="3">
        <v>0.13300000000000001</v>
      </c>
      <c r="N9" s="2" t="s">
        <v>29</v>
      </c>
    </row>
    <row r="10" spans="1:14" x14ac:dyDescent="0.2">
      <c r="A10" s="1" t="s">
        <v>8</v>
      </c>
      <c r="B10" s="3">
        <v>1.0189999999999999</v>
      </c>
      <c r="C10" s="3">
        <v>0.41899999999999998</v>
      </c>
      <c r="D10" s="3">
        <v>0.216</v>
      </c>
      <c r="E10" s="3">
        <v>5.2999999999999999E-2</v>
      </c>
      <c r="F10" s="3">
        <v>0.61199999999999999</v>
      </c>
      <c r="G10" s="3">
        <v>0.39300000000000002</v>
      </c>
      <c r="H10" s="3">
        <v>3.6999999999999998E-2</v>
      </c>
      <c r="I10" s="3">
        <v>0.19400000000000001</v>
      </c>
      <c r="J10" s="3">
        <v>0.109</v>
      </c>
      <c r="K10" s="3">
        <v>4.5999999999999999E-2</v>
      </c>
      <c r="N10" s="2" t="s">
        <v>29</v>
      </c>
    </row>
    <row r="11" spans="1:14" x14ac:dyDescent="0.2">
      <c r="A11" s="1" t="s">
        <v>9</v>
      </c>
      <c r="B11" s="3">
        <v>0.98899999999999999</v>
      </c>
      <c r="C11" s="3">
        <v>0.40699999999999997</v>
      </c>
      <c r="D11" s="3">
        <v>0.21</v>
      </c>
      <c r="E11" s="3">
        <v>5.0999999999999997E-2</v>
      </c>
      <c r="F11" s="3">
        <v>0.59299999999999997</v>
      </c>
      <c r="G11" s="3">
        <v>0.38</v>
      </c>
      <c r="H11" s="3">
        <v>3.5999999999999997E-2</v>
      </c>
      <c r="I11" s="3">
        <v>0.188</v>
      </c>
      <c r="J11" s="3">
        <v>0.107</v>
      </c>
      <c r="K11" s="3">
        <v>4.2999999999999997E-2</v>
      </c>
      <c r="N11" s="2" t="s">
        <v>29</v>
      </c>
    </row>
    <row r="12" spans="1:14" x14ac:dyDescent="0.2">
      <c r="A12" s="1" t="s">
        <v>10</v>
      </c>
      <c r="B12" s="3">
        <v>0.97299999999999998</v>
      </c>
      <c r="C12" s="3">
        <v>0.41</v>
      </c>
      <c r="D12" s="3">
        <v>0.19900000000000001</v>
      </c>
      <c r="E12" s="3">
        <v>0.05</v>
      </c>
      <c r="F12" s="3">
        <v>0.58599999999999997</v>
      </c>
      <c r="G12" s="3">
        <v>0.36199999999999999</v>
      </c>
      <c r="H12" s="3">
        <v>3.5000000000000003E-2</v>
      </c>
      <c r="I12" s="3">
        <v>0.17699999999999999</v>
      </c>
      <c r="J12" s="3">
        <v>9.9000000000000005E-2</v>
      </c>
      <c r="K12" s="3">
        <v>4.1000000000000002E-2</v>
      </c>
      <c r="N12" s="2" t="s">
        <v>29</v>
      </c>
    </row>
    <row r="13" spans="1:14" x14ac:dyDescent="0.2">
      <c r="A13" s="1" t="s">
        <v>11</v>
      </c>
      <c r="B13" s="3">
        <v>1.02</v>
      </c>
      <c r="C13" s="3">
        <v>0.42599999999999999</v>
      </c>
      <c r="D13" s="3">
        <v>0.21199999999999999</v>
      </c>
      <c r="E13" s="3">
        <v>5.2999999999999999E-2</v>
      </c>
      <c r="F13" s="3">
        <v>0.61299999999999999</v>
      </c>
      <c r="G13" s="3">
        <v>0.38800000000000001</v>
      </c>
      <c r="H13" s="3">
        <v>3.6999999999999998E-2</v>
      </c>
      <c r="I13" s="3">
        <v>0.189</v>
      </c>
      <c r="J13" s="3">
        <v>0.10299999999999999</v>
      </c>
      <c r="K13" s="3">
        <v>4.4999999999999998E-2</v>
      </c>
      <c r="N13" s="2" t="s">
        <v>29</v>
      </c>
    </row>
    <row r="14" spans="1:14" x14ac:dyDescent="0.2">
      <c r="A14" s="1" t="s">
        <v>12</v>
      </c>
      <c r="B14" s="3">
        <v>0.98699999999999999</v>
      </c>
      <c r="C14" s="3">
        <v>0.41199999999999998</v>
      </c>
      <c r="D14" s="3">
        <v>0.20399999999999999</v>
      </c>
      <c r="E14" s="3">
        <v>0.05</v>
      </c>
      <c r="F14" s="3">
        <v>0.59299999999999997</v>
      </c>
      <c r="G14" s="3">
        <v>0.371</v>
      </c>
      <c r="H14" s="3">
        <v>3.5999999999999997E-2</v>
      </c>
      <c r="I14" s="3">
        <v>0.183</v>
      </c>
      <c r="J14" s="3">
        <v>0.1</v>
      </c>
      <c r="K14" s="3">
        <v>4.2999999999999997E-2</v>
      </c>
      <c r="N14" s="2" t="s">
        <v>29</v>
      </c>
    </row>
    <row r="15" spans="1:14" x14ac:dyDescent="0.2">
      <c r="A15" s="1"/>
      <c r="B15" s="3">
        <f>AVERAGE(B10:B14)</f>
        <v>0.99759999999999993</v>
      </c>
      <c r="C15" s="3">
        <f t="shared" ref="C15" si="1">AVERAGE(C10:C14)</f>
        <v>0.41479999999999995</v>
      </c>
      <c r="D15" s="3">
        <f t="shared" ref="D15" si="2">AVERAGE(D10:D14)</f>
        <v>0.2082</v>
      </c>
      <c r="E15" s="3">
        <f t="shared" ref="E15" si="3">AVERAGE(E10:E14)</f>
        <v>5.1400000000000001E-2</v>
      </c>
      <c r="F15" s="3">
        <f t="shared" ref="F15" si="4">AVERAGE(F10:F14)</f>
        <v>0.59939999999999993</v>
      </c>
      <c r="G15" s="3">
        <f t="shared" ref="G15" si="5">AVERAGE(G10:G14)</f>
        <v>0.37880000000000003</v>
      </c>
      <c r="H15" s="3">
        <f t="shared" ref="H15" si="6">AVERAGE(H10:H14)</f>
        <v>3.6199999999999996E-2</v>
      </c>
      <c r="I15" s="3">
        <f t="shared" ref="I15" si="7">AVERAGE(I10:I14)</f>
        <v>0.1862</v>
      </c>
      <c r="J15" s="3">
        <f t="shared" ref="J15" si="8">AVERAGE(J10:J14)</f>
        <v>0.1036</v>
      </c>
      <c r="K15" s="3">
        <f t="shared" ref="K15" si="9">AVERAGE(K10:K14)</f>
        <v>4.3599999999999993E-2</v>
      </c>
      <c r="N15" s="2"/>
    </row>
    <row r="16" spans="1:14" x14ac:dyDescent="0.2">
      <c r="A16" s="1" t="s">
        <v>13</v>
      </c>
      <c r="B16" s="3">
        <v>12.94</v>
      </c>
      <c r="C16" s="3">
        <v>5.6230000000000002</v>
      </c>
      <c r="D16" s="3">
        <v>1.9370000000000001</v>
      </c>
      <c r="E16" s="3">
        <v>0.57699999999999996</v>
      </c>
      <c r="F16" s="3">
        <v>7.7670000000000003</v>
      </c>
      <c r="G16" s="3">
        <v>3.4460000000000002</v>
      </c>
      <c r="H16" s="3">
        <v>0.46600000000000003</v>
      </c>
      <c r="I16" s="3">
        <v>1.5720000000000001</v>
      </c>
      <c r="J16" s="3">
        <v>1.0780000000000001</v>
      </c>
      <c r="K16" s="3">
        <v>0.47799999999999998</v>
      </c>
      <c r="N16" s="2" t="s">
        <v>29</v>
      </c>
    </row>
    <row r="17" spans="1:14" x14ac:dyDescent="0.2">
      <c r="A17" s="1" t="s">
        <v>14</v>
      </c>
      <c r="B17" s="3">
        <v>3.6419999999999999</v>
      </c>
      <c r="C17" s="3">
        <v>1.5049999999999999</v>
      </c>
      <c r="D17" s="3">
        <v>0.69</v>
      </c>
      <c r="E17" s="3">
        <v>0.17499999999999999</v>
      </c>
      <c r="F17" s="3">
        <v>2.1850000000000001</v>
      </c>
      <c r="G17" s="3">
        <v>1.33</v>
      </c>
      <c r="H17" s="3">
        <v>0.13100000000000001</v>
      </c>
      <c r="I17" s="3">
        <v>0.61899999999999999</v>
      </c>
      <c r="J17" s="3">
        <v>0.34699999999999998</v>
      </c>
      <c r="K17" s="3">
        <v>0.14199999999999999</v>
      </c>
      <c r="N17" s="2" t="s">
        <v>29</v>
      </c>
    </row>
    <row r="18" spans="1:14" x14ac:dyDescent="0.2">
      <c r="A18" s="1" t="s">
        <v>15</v>
      </c>
      <c r="B18" s="3">
        <v>3.403</v>
      </c>
      <c r="C18" s="3">
        <v>1.4</v>
      </c>
      <c r="D18" s="3">
        <v>0.65</v>
      </c>
      <c r="E18" s="3">
        <v>0.16400000000000001</v>
      </c>
      <c r="F18" s="3">
        <v>2.0419999999999998</v>
      </c>
      <c r="G18" s="3">
        <v>1.2609999999999999</v>
      </c>
      <c r="H18" s="3">
        <v>0.123</v>
      </c>
      <c r="I18" s="3">
        <v>0.58199999999999996</v>
      </c>
      <c r="J18" s="3">
        <v>0.32900000000000001</v>
      </c>
      <c r="K18" s="3">
        <v>0.13400000000000001</v>
      </c>
      <c r="N18" s="2" t="s">
        <v>29</v>
      </c>
    </row>
    <row r="19" spans="1:14" x14ac:dyDescent="0.2">
      <c r="A19" s="1" t="s">
        <v>16</v>
      </c>
      <c r="B19" s="3">
        <v>3.5110000000000001</v>
      </c>
      <c r="C19" s="3">
        <v>1.472</v>
      </c>
      <c r="D19" s="3">
        <v>0.64200000000000002</v>
      </c>
      <c r="E19" s="3">
        <v>0.16600000000000001</v>
      </c>
      <c r="F19" s="3">
        <v>2.11</v>
      </c>
      <c r="G19" s="3">
        <v>1.2430000000000001</v>
      </c>
      <c r="H19" s="3">
        <v>0.126</v>
      </c>
      <c r="I19" s="3">
        <v>0.57399999999999995</v>
      </c>
      <c r="J19" s="3">
        <v>0.31900000000000001</v>
      </c>
      <c r="K19" s="3">
        <v>0.13</v>
      </c>
      <c r="N19" s="2" t="s">
        <v>29</v>
      </c>
    </row>
    <row r="20" spans="1:14" x14ac:dyDescent="0.2">
      <c r="A20" s="1" t="s">
        <v>17</v>
      </c>
      <c r="B20" s="3">
        <v>3.5539999999999998</v>
      </c>
      <c r="C20" s="3">
        <v>1.4870000000000001</v>
      </c>
      <c r="D20" s="3">
        <v>0.65300000000000002</v>
      </c>
      <c r="E20" s="3">
        <v>0.16900000000000001</v>
      </c>
      <c r="F20" s="3">
        <v>2.1349999999999998</v>
      </c>
      <c r="G20" s="3">
        <v>1.2669999999999999</v>
      </c>
      <c r="H20" s="3">
        <v>0.128</v>
      </c>
      <c r="I20" s="3">
        <v>0.58399999999999996</v>
      </c>
      <c r="J20" s="3">
        <v>0.32400000000000001</v>
      </c>
      <c r="K20" s="3">
        <v>0.13700000000000001</v>
      </c>
      <c r="N20" s="2" t="s">
        <v>29</v>
      </c>
    </row>
    <row r="21" spans="1:14" x14ac:dyDescent="0.2">
      <c r="A21" s="1" t="s">
        <v>18</v>
      </c>
      <c r="B21" s="3">
        <v>3.4780000000000002</v>
      </c>
      <c r="C21" s="3">
        <v>1.46</v>
      </c>
      <c r="D21" s="3">
        <v>0.63700000000000001</v>
      </c>
      <c r="E21" s="3">
        <v>0.16500000000000001</v>
      </c>
      <c r="F21" s="3">
        <v>2.089</v>
      </c>
      <c r="G21" s="3">
        <v>1.2290000000000001</v>
      </c>
      <c r="H21" s="3">
        <v>0.125</v>
      </c>
      <c r="I21" s="3">
        <v>0.56899999999999995</v>
      </c>
      <c r="J21" s="3">
        <v>0.318</v>
      </c>
      <c r="K21" s="3">
        <v>0.129</v>
      </c>
      <c r="N21" s="2" t="s">
        <v>29</v>
      </c>
    </row>
    <row r="22" spans="1:14" x14ac:dyDescent="0.2">
      <c r="B22" s="3">
        <f>AVERAGE(B17:B21)</f>
        <v>3.5176000000000003</v>
      </c>
      <c r="C22" s="3">
        <f t="shared" ref="C22" si="10">AVERAGE(C17:C21)</f>
        <v>1.4647999999999999</v>
      </c>
      <c r="D22" s="3">
        <f t="shared" ref="D22" si="11">AVERAGE(D17:D21)</f>
        <v>0.65439999999999998</v>
      </c>
      <c r="E22" s="3">
        <f t="shared" ref="E22" si="12">AVERAGE(E17:E21)</f>
        <v>0.1678</v>
      </c>
      <c r="F22" s="3">
        <f t="shared" ref="F22" si="13">AVERAGE(F17:F21)</f>
        <v>2.1122000000000001</v>
      </c>
      <c r="G22" s="3">
        <f t="shared" ref="G22" si="14">AVERAGE(G17:G21)</f>
        <v>1.2660000000000002</v>
      </c>
      <c r="H22" s="3">
        <f t="shared" ref="H22" si="15">AVERAGE(H17:H21)</f>
        <v>0.12659999999999999</v>
      </c>
      <c r="I22" s="3">
        <f t="shared" ref="I22" si="16">AVERAGE(I17:I21)</f>
        <v>0.58560000000000001</v>
      </c>
      <c r="J22" s="3">
        <f t="shared" ref="J22" si="17">AVERAGE(J17:J21)</f>
        <v>0.32740000000000002</v>
      </c>
      <c r="K22" s="3">
        <f t="shared" ref="K22" si="18">AVERAGE(K17:K21)</f>
        <v>0.13440000000000002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258A-10A7-6D4C-839B-032ECBCA99D5}">
  <dimension ref="A1:U10"/>
  <sheetViews>
    <sheetView tabSelected="1" workbookViewId="0">
      <selection sqref="A1:D10"/>
    </sheetView>
  </sheetViews>
  <sheetFormatPr baseColWidth="10" defaultRowHeight="15" x14ac:dyDescent="0.2"/>
  <sheetData>
    <row r="1" spans="1:21" x14ac:dyDescent="0.2">
      <c r="A1" s="1" t="s">
        <v>19</v>
      </c>
      <c r="B1" s="3">
        <v>0.11320000000000001</v>
      </c>
      <c r="C1" s="3">
        <v>0.99759999999999993</v>
      </c>
      <c r="D1" s="3">
        <v>3.5176000000000003</v>
      </c>
      <c r="L1">
        <v>3.5176000000000003</v>
      </c>
      <c r="M1">
        <v>1.4647999999999999</v>
      </c>
      <c r="N1">
        <v>0.65439999999999998</v>
      </c>
      <c r="O1">
        <v>0.1678</v>
      </c>
      <c r="P1">
        <v>2.1122000000000001</v>
      </c>
      <c r="Q1">
        <v>1.2660000000000002</v>
      </c>
      <c r="R1">
        <v>0.12659999999999999</v>
      </c>
      <c r="S1">
        <v>0.58560000000000001</v>
      </c>
      <c r="T1">
        <v>0.32740000000000002</v>
      </c>
      <c r="U1">
        <v>0.13440000000000002</v>
      </c>
    </row>
    <row r="2" spans="1:21" x14ac:dyDescent="0.2">
      <c r="A2" s="1" t="s">
        <v>20</v>
      </c>
      <c r="B2" s="3">
        <v>9.6599999999999991E-2</v>
      </c>
      <c r="C2" s="3">
        <v>0.41479999999999995</v>
      </c>
      <c r="D2" s="3">
        <v>1.4647999999999999</v>
      </c>
    </row>
    <row r="3" spans="1:21" x14ac:dyDescent="0.2">
      <c r="A3" s="1" t="s">
        <v>21</v>
      </c>
      <c r="B3" s="3">
        <v>5.1200000000000002E-2</v>
      </c>
      <c r="C3" s="3">
        <v>0.2082</v>
      </c>
      <c r="D3" s="3">
        <v>0.65439999999999998</v>
      </c>
    </row>
    <row r="4" spans="1:21" x14ac:dyDescent="0.2">
      <c r="A4" s="1" t="s">
        <v>22</v>
      </c>
      <c r="B4" s="3">
        <v>4.0000000000000001E-3</v>
      </c>
      <c r="C4" s="3">
        <v>5.1400000000000001E-2</v>
      </c>
      <c r="D4" s="3">
        <v>0.1678</v>
      </c>
    </row>
    <row r="5" spans="1:21" x14ac:dyDescent="0.2">
      <c r="A5" s="1" t="s">
        <v>23</v>
      </c>
      <c r="B5" s="3">
        <v>0.11020000000000001</v>
      </c>
      <c r="C5" s="3">
        <v>0.59939999999999993</v>
      </c>
      <c r="D5" s="3">
        <v>2.1122000000000001</v>
      </c>
    </row>
    <row r="6" spans="1:21" x14ac:dyDescent="0.2">
      <c r="A6" s="1" t="s">
        <v>24</v>
      </c>
      <c r="B6" s="3">
        <v>7.2399999999999992E-2</v>
      </c>
      <c r="C6" s="3">
        <v>0.37880000000000003</v>
      </c>
      <c r="D6" s="3">
        <v>1.2660000000000002</v>
      </c>
    </row>
    <row r="7" spans="1:21" x14ac:dyDescent="0.2">
      <c r="A7" s="1" t="s">
        <v>25</v>
      </c>
      <c r="B7" s="3">
        <v>4.0000000000000001E-3</v>
      </c>
      <c r="C7" s="3">
        <v>3.6199999999999996E-2</v>
      </c>
      <c r="D7" s="3">
        <v>0.12659999999999999</v>
      </c>
    </row>
    <row r="8" spans="1:21" x14ac:dyDescent="0.2">
      <c r="A8" s="1" t="s">
        <v>26</v>
      </c>
      <c r="B8" s="3">
        <v>2.8600000000000004E-2</v>
      </c>
      <c r="C8" s="3">
        <v>0.1862</v>
      </c>
      <c r="D8" s="3">
        <v>0.58560000000000001</v>
      </c>
    </row>
    <row r="9" spans="1:21" x14ac:dyDescent="0.2">
      <c r="A9" s="1" t="s">
        <v>27</v>
      </c>
      <c r="B9" s="3">
        <v>4.0000000000000001E-3</v>
      </c>
      <c r="C9" s="3">
        <v>0.1036</v>
      </c>
      <c r="D9" s="3">
        <v>0.32740000000000002</v>
      </c>
    </row>
    <row r="10" spans="1:21" x14ac:dyDescent="0.2">
      <c r="A10" s="1" t="s">
        <v>28</v>
      </c>
      <c r="B10" s="3">
        <v>8.1800000000000012E-2</v>
      </c>
      <c r="C10" s="3">
        <v>4.3599999999999993E-2</v>
      </c>
      <c r="D10" s="3">
        <v>0.13440000000000002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2022-12-07T09:59:55Z</dcterms:modified>
</cp:coreProperties>
</file>